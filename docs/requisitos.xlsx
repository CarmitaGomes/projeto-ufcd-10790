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. Funcionais (RF)" sheetId="1" r:id="rId4"/>
    <sheet state="visible" name="Req. Não Funcionais (RNF)" sheetId="2" r:id="rId5"/>
    <sheet state="visible" name="Resumo" sheetId="3" r:id="rId6"/>
  </sheets>
  <definedNames/>
  <calcPr/>
  <extLst>
    <ext uri="GoogleSheetsCustomDataVersion2">
      <go:sheetsCustomData xmlns:go="http://customooxmlschemas.google.com/" r:id="rId7" roundtripDataChecksum="VZ8j9X8OwWCBjB2pkEp0yVhCIKezZyGYucL77mQmD8o="/>
    </ext>
  </extLst>
</workbook>
</file>

<file path=xl/sharedStrings.xml><?xml version="1.0" encoding="utf-8"?>
<sst xmlns="http://schemas.openxmlformats.org/spreadsheetml/2006/main" count="136" uniqueCount="100">
  <si>
    <t>UFCD 10790 – Levantamento de Requisitos Funcionais (RF)   |   Projeto: ___________________________   |   Grupo: ___________</t>
  </si>
  <si>
    <t>Data: ___/___/______     Versão: 1.0     Formador: ___________________________     Estado geral: Em curso</t>
  </si>
  <si>
    <t>ID</t>
  </si>
  <si>
    <t>Nome do Requisito</t>
  </si>
  <si>
    <t>Descrição Detalhada</t>
  </si>
  <si>
    <t>Ator / Utilizador</t>
  </si>
  <si>
    <t>Prioridade</t>
  </si>
  <si>
    <t>Estado</t>
  </si>
  <si>
    <t>Critério de Aceitação</t>
  </si>
  <si>
    <t>Notas / Observações</t>
  </si>
  <si>
    <t>Módulo</t>
  </si>
  <si>
    <t>RF01</t>
  </si>
  <si>
    <t>Cálculo do Estado Inicial</t>
  </si>
  <si>
    <t>O sistema deve perguntar à utilizadora se está no período ou qual foi a data do último período para estimar a fase atual do ciclo.</t>
  </si>
  <si>
    <t>Cliente</t>
  </si>
  <si>
    <t>Alta</t>
  </si>
  <si>
    <t>Pendente</t>
  </si>
  <si>
    <t xml:space="preserve">Validar a entrada de datas no formato dia-mês (assumindo o ano atual de 2026) e mostrar um breve resumo informativo sobre a fase teórica em que a utilizadora se encontra.
</t>
  </si>
  <si>
    <t>Serve de ponto de partida para o rastreio simulado de 28 dias.</t>
  </si>
  <si>
    <t>Registos</t>
  </si>
  <si>
    <t>RF02</t>
  </si>
  <si>
    <t>Registo da Semana 1: Menstruação</t>
  </si>
  <si>
    <t>O sistema deve recolher os dados diários dos dias em que há sangramento.</t>
  </si>
  <si>
    <t xml:space="preserve">Cliente </t>
  </si>
  <si>
    <t xml:space="preserve">Pedir o número total de dias de menstruação e para cada dia de período, permitir selecionar de forma numerada: Fluxo (Pesado/Médio/Ligeiro), Cólicas (Pesadas/Medianas/Ligeiras) e Sintomas Adicionais (Vómitos, Cansaço, Insónia, Dores de Cabeça).
</t>
  </si>
  <si>
    <t>Se a menstruação durar menos de 7 dias (ex: 5 dias), o sistema deve perguntar explicitamente se deseja registar sintomas adicionais para os restantes dias da semana (dias 6 e 7).</t>
  </si>
  <si>
    <t>RF03</t>
  </si>
  <si>
    <t>Registo das Restantes Fases (Semanas 2, 3 e 4)</t>
  </si>
  <si>
    <t>O sistema deve permitir o registo opcional de sintomas para a Fase Folicular, Ovulação e Fase Lútea.</t>
  </si>
  <si>
    <t xml:space="preserve">Mostrar um resumo educativo antes de cada fase, permitir selecionar um dia específico da fase e associar sintomas predefinidos de forma numerada (ex: Aumento de energia, acne, inchaço, alterações de humor) e perguntar (opcionalmente) a média de horas de sono e litros de água consumidos.
</t>
  </si>
  <si>
    <t>Para simular a passagem do tempo no terminal, o sistema incrementará os dias automaticamente a cada bloco preenchido.</t>
  </si>
  <si>
    <t>RF04</t>
  </si>
  <si>
    <t>Alertas e Diagnóstico de Parâmetros</t>
  </si>
  <si>
    <t>O sistema deve analisar os dados introduzidos ao fim de cada fase e no final dos 28 dias para detetar anomalias.</t>
  </si>
  <si>
    <t>Emitir um aviso em Vermelho se houver um sintoma fora dos parâmetros de saúde (ex: Sangramento prolongado &gt; 7 dias), emitir um aviso em Laranja se os dias estiverem normais mas as cólicas forem severas e mostrar mensagem em Verde se tudo estiver correto.</t>
  </si>
  <si>
    <t>A análise baseia-se numa árvore de decisão interna (if/elif/else) cruzando os inputs com uma lista fixa de condições de saúde.</t>
  </si>
  <si>
    <t>Sugestões</t>
  </si>
  <si>
    <t>RF05</t>
  </si>
  <si>
    <t>Módulo de Recomendação Localizada</t>
  </si>
  <si>
    <t>Se forem detetadas anomalias ou hábitos incorretos, o sistema deve sugerir especialistas médicos ou de bem-estar com base na área geográfica.</t>
  </si>
  <si>
    <t xml:space="preserve">Perguntar se a utilizadora deseja receber recomendações, solicitar a localização através de um menu de opções fixas (ex: Belém, Parque das Nações, etc.), cruzar o sintoma grave com a especialidade (ex: Hemorragia -&gt; Ginecologista; Acne -&gt; Dermatologista) ou sugerir hábitos/PTs se estiver tudo bem e exibir os nomes dos profissionais correspondentes à zona selecionada.
</t>
  </si>
  <si>
    <t>A lista de profissionais, ginásios e especialidades será guardada como uma estrutura de dados estática dentro do código (como uma tabela de consulta).</t>
  </si>
  <si>
    <t>RF06</t>
  </si>
  <si>
    <t>RF07</t>
  </si>
  <si>
    <t>RF08</t>
  </si>
  <si>
    <t>← Descreva o requisito de forma clara e verificável</t>
  </si>
  <si>
    <t>← Como confirmar que está implementado?</t>
  </si>
  <si>
    <t>RF09</t>
  </si>
  <si>
    <t>RF10</t>
  </si>
  <si>
    <t>RF11</t>
  </si>
  <si>
    <t>RF12</t>
  </si>
  <si>
    <t>RF13</t>
  </si>
  <si>
    <t>RF14</t>
  </si>
  <si>
    <t>RF15</t>
  </si>
  <si>
    <t>Total de requisitos Funcionais (RF)</t>
  </si>
  <si>
    <t>Prioridade:    Alta = obrigatório para a entrega    |    Média = importante mas não crítico    |    Baixa = nice-to-have</t>
  </si>
  <si>
    <t>UFCD 10790 – Levantamento de Requisitos Não Funcionais (RNF)   |   Projeto: ___________________________   |   Grupo: ___________</t>
  </si>
  <si>
    <t>RNF01</t>
  </si>
  <si>
    <t>Linguagem de Programação</t>
  </si>
  <si>
    <t>O sistema deve ser desenvolvido inteiramente em Python.</t>
  </si>
  <si>
    <t>Todos</t>
  </si>
  <si>
    <t>RNF02</t>
  </si>
  <si>
    <t>Interface de Utilizador</t>
  </si>
  <si>
    <t>A aplicação deve correr exclusivamente via Terminal / Linha de Comandos no Visual Studio Code (VSC).</t>
  </si>
  <si>
    <t>Sistema</t>
  </si>
  <si>
    <t>RNF03</t>
  </si>
  <si>
    <t>Dados</t>
  </si>
  <si>
    <t>O armazenamento e leitura dos perfis e registos das utilizadoras devem ser feitos num ficheiro estruturado em JSON.</t>
  </si>
  <si>
    <t>Utilizador consegue deve entender o que preencher sem se cansar</t>
  </si>
  <si>
    <t>Identificar tipos de informações através de cores</t>
  </si>
  <si>
    <t>Registos e sugestões</t>
  </si>
  <si>
    <t>RNF04</t>
  </si>
  <si>
    <t>Usabilidade Visual</t>
  </si>
  <si>
    <t>O texto do terminal deve ser formatado com cores codificadas (ex: usando códigos ANSI) para diferenciar ações.</t>
  </si>
  <si>
    <t>Média</t>
  </si>
  <si>
    <t>Amarelo (Inputs), Vermelho (Avisos Graves), Laranja (Atenção/Caution) e Verde (Sucesso/Recomendações).</t>
  </si>
  <si>
    <t>UX</t>
  </si>
  <si>
    <t>RNF05</t>
  </si>
  <si>
    <t>RNF06</t>
  </si>
  <si>
    <t>RNF07</t>
  </si>
  <si>
    <t>RNF08</t>
  </si>
  <si>
    <t>RNF09</t>
  </si>
  <si>
    <t>RNF10</t>
  </si>
  <si>
    <t>RNF11</t>
  </si>
  <si>
    <t>RNF12</t>
  </si>
  <si>
    <t>RNF13</t>
  </si>
  <si>
    <t>Total de requisitos Não Funcionais (RNF)</t>
  </si>
  <si>
    <t>UFCD 10790 — Resumo do Levantamento de Requisitos</t>
  </si>
  <si>
    <t>Projeto: ___________________________   |   Grupo: ___________   |   Data: ___/___/______</t>
  </si>
  <si>
    <t>Indicador</t>
  </si>
  <si>
    <t>Funcionais (RF)</t>
  </si>
  <si>
    <t>Não Funcionais (RNF)</t>
  </si>
  <si>
    <t>Total</t>
  </si>
  <si>
    <t>Total de Requisitos</t>
  </si>
  <si>
    <t>Prioridade Alta</t>
  </si>
  <si>
    <t>Prioridade Média</t>
  </si>
  <si>
    <t>Prioridade Baixa</t>
  </si>
  <si>
    <t>Concluídos</t>
  </si>
  <si>
    <t>Pendentes</t>
  </si>
  <si>
    <t>Em curso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</si>
</sst>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9.0"/>
      <color rgb="FF004D26"/>
      <name val="Arial"/>
    </font>
    <font>
      <b/>
      <sz val="10.0"/>
      <color rgb="FFFFFFFF"/>
      <name val="Arial"/>
    </font>
    <font>
      <b/>
      <sz val="10.0"/>
      <color rgb="FF004D26"/>
      <name val="Arial"/>
    </font>
    <font>
      <sz val="10.0"/>
      <color rgb="FF1A1A1A"/>
      <name val="Arial"/>
    </font>
    <font>
      <b/>
      <sz val="10.0"/>
      <color rgb="FFB71C1C"/>
      <name val="Arial"/>
    </font>
    <font>
      <sz val="10.0"/>
      <color rgb="FF555555"/>
      <name val="Arial"/>
    </font>
    <font>
      <b/>
      <sz val="10.0"/>
      <color rgb="FFE65100"/>
      <name val="Arial"/>
    </font>
    <font>
      <b/>
      <i/>
      <sz val="10.0"/>
      <color rgb="FF004D26"/>
      <name val="Arial"/>
    </font>
    <font>
      <i/>
      <sz val="10.0"/>
      <color rgb="FFAAAAAA"/>
      <name val="Arial"/>
    </font>
    <font>
      <b/>
      <sz val="11.0"/>
      <color rgb="FFFFFFFF"/>
      <name val="Arial"/>
    </font>
    <font>
      <sz val="11.0"/>
      <color theme="1"/>
      <name val="Calibri"/>
    </font>
    <font>
      <i/>
      <sz val="9.0"/>
      <color rgb="FF555555"/>
      <name val="Arial"/>
    </font>
    <font>
      <i/>
      <sz val="9.0"/>
      <color rgb="FF4A148C"/>
      <name val="Arial"/>
    </font>
    <font>
      <b/>
      <sz val="10.0"/>
      <color rgb="FF4A148C"/>
      <name val="Arial"/>
    </font>
    <font>
      <b/>
      <i/>
      <sz val="10.0"/>
      <color rgb="FF4A148C"/>
      <name val="Arial"/>
    </font>
    <font>
      <b/>
      <sz val="14.0"/>
      <color rgb="FFFFFFFF"/>
      <name val="Arial"/>
    </font>
    <font>
      <i/>
      <sz val="10.0"/>
      <color rgb="FF004D26"/>
      <name val="Arial"/>
    </font>
    <font>
      <b/>
      <sz val="11.0"/>
      <color rgb="FF004D26"/>
      <name val="Arial"/>
    </font>
    <font>
      <b/>
      <sz val="11.0"/>
      <color rgb="FF4A148C"/>
      <name val="Arial"/>
    </font>
    <font>
      <sz val="11.0"/>
      <color rgb="FF004D26"/>
      <name val="Arial"/>
    </font>
    <font>
      <sz val="11.0"/>
      <color rgb="FF4A148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4D26"/>
        <bgColor rgb="FF004D26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EBEE"/>
        <bgColor rgb="FFFFEBEE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FFF3E0"/>
        <bgColor rgb="FFFFF3E0"/>
      </patternFill>
    </fill>
    <fill>
      <patternFill patternType="solid">
        <fgColor rgb="FF4A148C"/>
        <bgColor rgb="FF4A148C"/>
      </patternFill>
    </fill>
    <fill>
      <patternFill patternType="solid">
        <fgColor rgb="FFF3E5F5"/>
        <bgColor rgb="FFF3E5F5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dotted">
        <color rgb="FFEEEEEE"/>
      </left>
      <right style="dotted">
        <color rgb="FFEEEEEE"/>
      </right>
      <top style="dotted">
        <color rgb="FFEEEEEE"/>
      </top>
      <bottom style="dotted">
        <color rgb="FFEEEEEE"/>
      </bottom>
    </border>
    <border>
      <left style="thin">
        <color rgb="FF003300"/>
      </left>
      <top style="thin">
        <color rgb="FF003300"/>
      </top>
      <bottom style="thin">
        <color rgb="FF003300"/>
      </bottom>
    </border>
    <border>
      <top style="thin">
        <color rgb="FF003300"/>
      </top>
      <bottom style="thin">
        <color rgb="FF003300"/>
      </bottom>
    </border>
    <border>
      <right/>
      <top style="thin">
        <color rgb="FF003300"/>
      </top>
      <bottom style="thin">
        <color rgb="FF0033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ont="1">
      <alignment horizontal="left" readingOrder="0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5" fillId="6" fontId="8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ont="1">
      <alignment horizontal="center" readingOrder="0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5" fillId="7" fontId="6" numFmtId="0" xfId="0" applyAlignment="1" applyBorder="1" applyFont="1">
      <alignment horizontal="left" readingOrder="0" shrinkToFit="0" vertical="center" wrapText="1"/>
    </xf>
    <xf borderId="5" fillId="7" fontId="6" numFmtId="0" xfId="0" applyAlignment="1" applyBorder="1" applyFont="1">
      <alignment horizontal="center" readingOrder="0" shrinkToFit="0" vertical="center" wrapText="1"/>
    </xf>
    <xf borderId="5" fillId="7" fontId="6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left" shrinkToFit="0" vertical="center" wrapText="1"/>
    </xf>
    <xf borderId="5" fillId="8" fontId="9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ont="1">
      <alignment horizontal="left" shrinkToFit="0" vertical="center" wrapText="1"/>
    </xf>
    <xf borderId="6" fillId="3" fontId="10" numFmtId="0" xfId="0" applyAlignment="1" applyBorder="1" applyFont="1">
      <alignment horizontal="center" shrinkToFit="0" vertical="center" wrapText="1"/>
    </xf>
    <xf borderId="6" fillId="4" fontId="11" numFmtId="0" xfId="0" applyAlignment="1" applyBorder="1" applyFont="1">
      <alignment horizontal="left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7" fontId="11" numFmtId="0" xfId="0" applyAlignment="1" applyBorder="1" applyFont="1">
      <alignment horizontal="left" shrinkToFit="0" vertical="center" wrapText="1"/>
    </xf>
    <xf borderId="6" fillId="7" fontId="11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right" shrinkToFit="0" vertical="center" wrapText="1"/>
    </xf>
    <xf borderId="8" fillId="0" fontId="2" numFmtId="0" xfId="0" applyBorder="1" applyFont="1"/>
    <xf borderId="9" fillId="0" fontId="2" numFmtId="0" xfId="0" applyBorder="1" applyFont="1"/>
    <xf borderId="4" fillId="2" fontId="12" numFmtId="0" xfId="0" applyAlignment="1" applyBorder="1" applyFont="1">
      <alignment horizontal="center" shrinkToFit="0" vertical="center" wrapText="1"/>
    </xf>
    <xf borderId="4" fillId="2" fontId="13" numFmtId="0" xfId="0" applyBorder="1" applyFont="1"/>
    <xf borderId="0" fillId="0" fontId="14" numFmtId="0" xfId="0" applyAlignment="1" applyFont="1">
      <alignment horizontal="left" shrinkToFit="0" vertical="center" wrapText="1"/>
    </xf>
    <xf borderId="1" fillId="9" fontId="1" numFmtId="0" xfId="0" applyAlignment="1" applyBorder="1" applyFill="1" applyFont="1">
      <alignment horizontal="left" shrinkToFit="0" vertical="center" wrapText="1"/>
    </xf>
    <xf borderId="1" fillId="10" fontId="15" numFmtId="0" xfId="0" applyAlignment="1" applyBorder="1" applyFill="1" applyFont="1">
      <alignment horizontal="left" shrinkToFit="0" vertical="center" wrapText="1"/>
    </xf>
    <xf borderId="4" fillId="9" fontId="4" numFmtId="0" xfId="0" applyAlignment="1" applyBorder="1" applyFont="1">
      <alignment horizontal="center" shrinkToFit="0" vertical="center" wrapText="1"/>
    </xf>
    <xf borderId="5" fillId="4" fontId="16" numFmtId="0" xfId="0" applyAlignment="1" applyBorder="1" applyFont="1">
      <alignment horizontal="center" shrinkToFit="0" vertical="center" wrapText="1"/>
    </xf>
    <xf borderId="5" fillId="7" fontId="16" numFmtId="0" xfId="0" applyAlignment="1" applyBorder="1" applyFont="1">
      <alignment horizontal="center" shrinkToFit="0" vertical="center" wrapText="1"/>
    </xf>
    <xf borderId="5" fillId="5" fontId="9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10" fontId="17" numFmtId="0" xfId="0" applyAlignment="1" applyBorder="1" applyFont="1">
      <alignment horizontal="center" shrinkToFit="0" vertical="center" wrapText="1"/>
    </xf>
    <xf borderId="7" fillId="9" fontId="4" numFmtId="0" xfId="0" applyAlignment="1" applyBorder="1" applyFont="1">
      <alignment horizontal="right" shrinkToFit="0" vertical="center" wrapText="1"/>
    </xf>
    <xf borderId="4" fillId="9" fontId="12" numFmtId="0" xfId="0" applyAlignment="1" applyBorder="1" applyFont="1">
      <alignment horizontal="center" shrinkToFit="0" vertical="center" wrapText="1"/>
    </xf>
    <xf borderId="4" fillId="9" fontId="13" numFmtId="0" xfId="0" applyBorder="1" applyFont="1"/>
    <xf borderId="1" fillId="2" fontId="18" numFmtId="0" xfId="0" applyAlignment="1" applyBorder="1" applyFont="1">
      <alignment horizontal="left" shrinkToFit="0" vertical="center" wrapText="1"/>
    </xf>
    <xf borderId="1" fillId="3" fontId="19" numFmtId="0" xfId="0" applyAlignment="1" applyBorder="1" applyFont="1">
      <alignment horizontal="left" shrinkToFit="0" vertical="center" wrapText="1"/>
    </xf>
    <xf borderId="10" fillId="3" fontId="5" numFmtId="0" xfId="0" applyAlignment="1" applyBorder="1" applyFont="1">
      <alignment horizontal="left" shrinkToFit="0" vertical="center" wrapText="1"/>
    </xf>
    <xf borderId="10" fillId="3" fontId="20" numFmtId="0" xfId="0" applyAlignment="1" applyBorder="1" applyFont="1">
      <alignment horizontal="center" shrinkToFit="0" vertical="center" wrapText="1"/>
    </xf>
    <xf borderId="10" fillId="10" fontId="21" numFmtId="0" xfId="0" applyAlignment="1" applyBorder="1" applyFont="1">
      <alignment horizontal="center" shrinkToFit="0" vertical="center" wrapText="1"/>
    </xf>
    <xf borderId="11" fillId="4" fontId="13" numFmtId="0" xfId="0" applyBorder="1" applyFont="1"/>
    <xf borderId="10" fillId="4" fontId="6" numFmtId="0" xfId="0" applyAlignment="1" applyBorder="1" applyFont="1">
      <alignment horizontal="left" shrinkToFit="0" vertical="center" wrapText="1"/>
    </xf>
    <xf borderId="10" fillId="7" fontId="22" numFmtId="0" xfId="0" applyAlignment="1" applyBorder="1" applyFont="1">
      <alignment horizontal="center" shrinkToFit="0" vertical="center" wrapText="1"/>
    </xf>
    <xf borderId="10" fillId="7" fontId="23" numFmtId="0" xfId="0" applyAlignment="1" applyBorder="1" applyFont="1">
      <alignment horizontal="center" shrinkToFit="0" vertical="center" wrapText="1"/>
    </xf>
    <xf borderId="10" fillId="6" fontId="2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4.0"/>
    <col customWidth="1" min="3" max="3" width="42.0"/>
    <col customWidth="1" min="4" max="4" width="16.0"/>
    <col customWidth="1" min="5" max="5" width="12.0"/>
    <col customWidth="1" min="6" max="6" width="13.0"/>
    <col customWidth="1" min="7" max="7" width="40.86"/>
    <col customWidth="1" min="8" max="8" width="28.0"/>
    <col customWidth="1" min="9" max="9" width="16.0"/>
    <col customWidth="1" min="10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21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54.0" customHeight="1">
      <c r="A5" s="6" t="s">
        <v>11</v>
      </c>
      <c r="B5" s="7" t="s">
        <v>12</v>
      </c>
      <c r="C5" s="7" t="s">
        <v>13</v>
      </c>
      <c r="D5" s="8" t="s">
        <v>14</v>
      </c>
      <c r="E5" s="9" t="s">
        <v>15</v>
      </c>
      <c r="F5" s="10" t="s">
        <v>16</v>
      </c>
      <c r="G5" s="7" t="s">
        <v>17</v>
      </c>
      <c r="H5" s="7" t="s">
        <v>18</v>
      </c>
      <c r="I5" s="11" t="s">
        <v>19</v>
      </c>
    </row>
    <row r="6">
      <c r="A6" s="12" t="s">
        <v>20</v>
      </c>
      <c r="B6" s="13" t="s">
        <v>21</v>
      </c>
      <c r="C6" s="13" t="s">
        <v>22</v>
      </c>
      <c r="D6" s="14" t="s">
        <v>23</v>
      </c>
      <c r="E6" s="9" t="s">
        <v>15</v>
      </c>
      <c r="F6" s="10" t="s">
        <v>16</v>
      </c>
      <c r="G6" s="13" t="s">
        <v>24</v>
      </c>
      <c r="H6" s="13" t="s">
        <v>25</v>
      </c>
      <c r="I6" s="14" t="s">
        <v>19</v>
      </c>
    </row>
    <row r="7">
      <c r="A7" s="6" t="s">
        <v>26</v>
      </c>
      <c r="B7" s="7" t="s">
        <v>27</v>
      </c>
      <c r="C7" s="7" t="s">
        <v>28</v>
      </c>
      <c r="D7" s="8" t="s">
        <v>14</v>
      </c>
      <c r="E7" s="9" t="s">
        <v>15</v>
      </c>
      <c r="F7" s="10" t="s">
        <v>16</v>
      </c>
      <c r="G7" s="7" t="s">
        <v>29</v>
      </c>
      <c r="H7" s="7" t="s">
        <v>30</v>
      </c>
      <c r="I7" s="11" t="s">
        <v>19</v>
      </c>
    </row>
    <row r="8" ht="81.75" customHeight="1">
      <c r="A8" s="12" t="s">
        <v>31</v>
      </c>
      <c r="B8" s="13" t="s">
        <v>32</v>
      </c>
      <c r="C8" s="13" t="s">
        <v>33</v>
      </c>
      <c r="D8" s="15" t="s">
        <v>14</v>
      </c>
      <c r="E8" s="9" t="s">
        <v>15</v>
      </c>
      <c r="F8" s="10" t="s">
        <v>16</v>
      </c>
      <c r="G8" s="13" t="s">
        <v>34</v>
      </c>
      <c r="H8" s="13" t="s">
        <v>35</v>
      </c>
      <c r="I8" s="14" t="s">
        <v>36</v>
      </c>
    </row>
    <row r="9">
      <c r="A9" s="6" t="s">
        <v>37</v>
      </c>
      <c r="B9" s="7" t="s">
        <v>38</v>
      </c>
      <c r="C9" s="7" t="s">
        <v>39</v>
      </c>
      <c r="D9" s="8" t="s">
        <v>14</v>
      </c>
      <c r="E9" s="9" t="s">
        <v>15</v>
      </c>
      <c r="F9" s="10" t="s">
        <v>16</v>
      </c>
      <c r="G9" s="7" t="s">
        <v>40</v>
      </c>
      <c r="H9" s="7" t="s">
        <v>41</v>
      </c>
      <c r="I9" s="11" t="s">
        <v>36</v>
      </c>
    </row>
    <row r="10" ht="30.0" customHeight="1">
      <c r="A10" s="16" t="s">
        <v>42</v>
      </c>
      <c r="B10" s="17"/>
      <c r="C10" s="17"/>
      <c r="D10" s="15"/>
      <c r="E10" s="18"/>
      <c r="F10" s="10"/>
      <c r="G10" s="17"/>
      <c r="H10" s="17"/>
      <c r="I10" s="15"/>
    </row>
    <row r="11" ht="30.0" customHeight="1">
      <c r="A11" s="16" t="s">
        <v>43</v>
      </c>
      <c r="B11" s="19"/>
      <c r="C11" s="19"/>
      <c r="D11" s="8"/>
      <c r="E11" s="9"/>
      <c r="F11" s="10"/>
      <c r="G11" s="19"/>
      <c r="H11" s="19"/>
      <c r="I11" s="8"/>
    </row>
    <row r="12" ht="27.75" customHeight="1">
      <c r="A12" s="20" t="s">
        <v>44</v>
      </c>
      <c r="B12" s="21"/>
      <c r="C12" s="21" t="s">
        <v>45</v>
      </c>
      <c r="D12" s="22"/>
      <c r="E12" s="22"/>
      <c r="F12" s="22"/>
      <c r="G12" s="21" t="s">
        <v>46</v>
      </c>
      <c r="H12" s="21"/>
      <c r="I12" s="22"/>
    </row>
    <row r="13" ht="27.75" customHeight="1">
      <c r="A13" s="20" t="s">
        <v>47</v>
      </c>
      <c r="B13" s="23"/>
      <c r="C13" s="23"/>
      <c r="D13" s="24"/>
      <c r="E13" s="24"/>
      <c r="F13" s="24"/>
      <c r="G13" s="23"/>
      <c r="H13" s="23"/>
      <c r="I13" s="24"/>
    </row>
    <row r="14" ht="27.75" customHeight="1">
      <c r="A14" s="20" t="s">
        <v>48</v>
      </c>
      <c r="B14" s="21"/>
      <c r="C14" s="21"/>
      <c r="D14" s="22"/>
      <c r="E14" s="22"/>
      <c r="F14" s="22"/>
      <c r="G14" s="21"/>
      <c r="H14" s="21"/>
      <c r="I14" s="22"/>
    </row>
    <row r="15" ht="27.75" customHeight="1">
      <c r="A15" s="20" t="s">
        <v>49</v>
      </c>
      <c r="B15" s="23"/>
      <c r="C15" s="23"/>
      <c r="D15" s="24"/>
      <c r="E15" s="24"/>
      <c r="F15" s="24"/>
      <c r="G15" s="23"/>
      <c r="H15" s="23"/>
      <c r="I15" s="24"/>
    </row>
    <row r="16" ht="27.75" customHeight="1">
      <c r="A16" s="20" t="s">
        <v>50</v>
      </c>
      <c r="B16" s="21"/>
      <c r="C16" s="21"/>
      <c r="D16" s="22"/>
      <c r="E16" s="22"/>
      <c r="F16" s="22"/>
      <c r="G16" s="21"/>
      <c r="H16" s="21"/>
      <c r="I16" s="22"/>
    </row>
    <row r="17" ht="27.75" customHeight="1">
      <c r="A17" s="20" t="s">
        <v>51</v>
      </c>
      <c r="B17" s="23"/>
      <c r="C17" s="23"/>
      <c r="D17" s="24"/>
      <c r="E17" s="24"/>
      <c r="F17" s="24"/>
      <c r="G17" s="23"/>
      <c r="H17" s="23"/>
      <c r="I17" s="24"/>
    </row>
    <row r="18" ht="27.75" customHeight="1">
      <c r="A18" s="20" t="s">
        <v>52</v>
      </c>
      <c r="B18" s="21"/>
      <c r="C18" s="21"/>
      <c r="D18" s="22"/>
      <c r="E18" s="22"/>
      <c r="F18" s="22"/>
      <c r="G18" s="21"/>
      <c r="H18" s="21"/>
      <c r="I18" s="22"/>
    </row>
    <row r="19" ht="27.75" customHeight="1">
      <c r="A19" s="20" t="s">
        <v>53</v>
      </c>
      <c r="B19" s="23"/>
      <c r="C19" s="23"/>
      <c r="D19" s="24"/>
      <c r="E19" s="24"/>
      <c r="F19" s="24"/>
      <c r="G19" s="23"/>
      <c r="H19" s="23"/>
      <c r="I19" s="24"/>
    </row>
    <row r="20" ht="19.5" customHeight="1">
      <c r="A20" s="25" t="s">
        <v>54</v>
      </c>
      <c r="B20" s="26"/>
      <c r="C20" s="26"/>
      <c r="D20" s="27"/>
      <c r="E20" s="28">
        <f>COUNTA(A5:A19)</f>
        <v>15</v>
      </c>
      <c r="F20" s="29"/>
      <c r="G20" s="29"/>
      <c r="H20" s="29"/>
      <c r="I20" s="29"/>
    </row>
    <row r="21" ht="15.75" customHeight="1"/>
    <row r="22" ht="18.0" customHeight="1">
      <c r="A22" s="30" t="s">
        <v>55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20:D20"/>
    <mergeCell ref="A22:I22"/>
  </mergeCells>
  <dataValidations>
    <dataValidation type="list" allowBlank="1" sqref="E5:E19">
      <formula1>"Alta,Média,Baixa"</formula1>
    </dataValidation>
    <dataValidation type="list" allowBlank="1" sqref="F5:F19">
      <formula1>"Pendente,Em curso,Concluído,Cancelado"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4.0"/>
    <col customWidth="1" min="3" max="3" width="42.0"/>
    <col customWidth="1" min="4" max="4" width="16.0"/>
    <col customWidth="1" min="5" max="5" width="12.0"/>
    <col customWidth="1" min="6" max="6" width="13.0"/>
    <col customWidth="1" min="7" max="7" width="48.71"/>
    <col customWidth="1" min="8" max="8" width="28.0"/>
    <col customWidth="1" min="9" max="9" width="16.0"/>
    <col customWidth="1" min="10" max="26" width="8.71"/>
  </cols>
  <sheetData>
    <row r="1" ht="25.5" customHeight="1">
      <c r="A1" s="31" t="s">
        <v>56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32" t="s">
        <v>1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21.75" customHeight="1">
      <c r="A4" s="33" t="s">
        <v>2</v>
      </c>
      <c r="B4" s="33" t="s">
        <v>3</v>
      </c>
      <c r="C4" s="33" t="s">
        <v>4</v>
      </c>
      <c r="D4" s="33" t="s">
        <v>5</v>
      </c>
      <c r="E4" s="33" t="s">
        <v>6</v>
      </c>
      <c r="F4" s="33" t="s">
        <v>7</v>
      </c>
      <c r="G4" s="33" t="s">
        <v>8</v>
      </c>
      <c r="H4" s="33" t="s">
        <v>9</v>
      </c>
      <c r="I4" s="33" t="s">
        <v>10</v>
      </c>
    </row>
    <row r="5">
      <c r="A5" s="34" t="s">
        <v>57</v>
      </c>
      <c r="B5" s="7" t="s">
        <v>58</v>
      </c>
      <c r="C5" s="7" t="s">
        <v>59</v>
      </c>
      <c r="D5" s="8" t="s">
        <v>60</v>
      </c>
      <c r="E5" s="9" t="s">
        <v>15</v>
      </c>
      <c r="F5" s="10" t="s">
        <v>16</v>
      </c>
      <c r="G5" s="19"/>
      <c r="H5" s="19"/>
      <c r="I5" s="8"/>
    </row>
    <row r="6">
      <c r="A6" s="35" t="s">
        <v>61</v>
      </c>
      <c r="B6" s="13" t="s">
        <v>62</v>
      </c>
      <c r="C6" s="13" t="s">
        <v>63</v>
      </c>
      <c r="D6" s="15" t="s">
        <v>64</v>
      </c>
      <c r="E6" s="9" t="s">
        <v>15</v>
      </c>
      <c r="F6" s="10" t="s">
        <v>16</v>
      </c>
      <c r="G6" s="17"/>
      <c r="H6" s="17"/>
      <c r="I6" s="15"/>
    </row>
    <row r="7">
      <c r="A7" s="34" t="s">
        <v>65</v>
      </c>
      <c r="B7" s="7" t="s">
        <v>66</v>
      </c>
      <c r="C7" s="7" t="s">
        <v>67</v>
      </c>
      <c r="D7" s="8" t="s">
        <v>14</v>
      </c>
      <c r="E7" s="36" t="s">
        <v>15</v>
      </c>
      <c r="F7" s="10" t="s">
        <v>16</v>
      </c>
      <c r="G7" s="7" t="s">
        <v>68</v>
      </c>
      <c r="H7" s="7" t="s">
        <v>69</v>
      </c>
      <c r="I7" s="11" t="s">
        <v>70</v>
      </c>
    </row>
    <row r="8" ht="37.5" customHeight="1">
      <c r="A8" s="35" t="s">
        <v>71</v>
      </c>
      <c r="B8" s="13" t="s">
        <v>72</v>
      </c>
      <c r="C8" s="13" t="s">
        <v>73</v>
      </c>
      <c r="D8" s="15" t="s">
        <v>60</v>
      </c>
      <c r="E8" s="18" t="s">
        <v>74</v>
      </c>
      <c r="F8" s="10" t="s">
        <v>16</v>
      </c>
      <c r="G8" s="17"/>
      <c r="H8" s="13" t="s">
        <v>75</v>
      </c>
      <c r="I8" s="14" t="s">
        <v>76</v>
      </c>
    </row>
    <row r="9" ht="30.0" customHeight="1">
      <c r="A9" s="34" t="s">
        <v>77</v>
      </c>
      <c r="B9" s="19"/>
      <c r="C9" s="19"/>
      <c r="D9" s="8"/>
      <c r="E9" s="37"/>
      <c r="F9" s="10"/>
      <c r="G9" s="19"/>
      <c r="H9" s="19"/>
      <c r="I9" s="8"/>
    </row>
    <row r="10" ht="27.75" customHeight="1">
      <c r="A10" s="38" t="s">
        <v>78</v>
      </c>
      <c r="B10" s="21"/>
      <c r="C10" s="21" t="s">
        <v>45</v>
      </c>
      <c r="D10" s="22"/>
      <c r="E10" s="22"/>
      <c r="F10" s="22"/>
      <c r="G10" s="21" t="s">
        <v>46</v>
      </c>
      <c r="H10" s="21"/>
      <c r="I10" s="22"/>
    </row>
    <row r="11" ht="27.75" customHeight="1">
      <c r="A11" s="38" t="s">
        <v>79</v>
      </c>
      <c r="B11" s="23"/>
      <c r="C11" s="23"/>
      <c r="D11" s="24"/>
      <c r="E11" s="24"/>
      <c r="F11" s="24"/>
      <c r="G11" s="23"/>
      <c r="H11" s="23"/>
      <c r="I11" s="24"/>
    </row>
    <row r="12" ht="27.75" customHeight="1">
      <c r="A12" s="38" t="s">
        <v>80</v>
      </c>
      <c r="B12" s="21"/>
      <c r="C12" s="21"/>
      <c r="D12" s="22"/>
      <c r="E12" s="22"/>
      <c r="F12" s="22"/>
      <c r="G12" s="21"/>
      <c r="H12" s="21"/>
      <c r="I12" s="22"/>
    </row>
    <row r="13" ht="27.75" customHeight="1">
      <c r="A13" s="38" t="s">
        <v>81</v>
      </c>
      <c r="B13" s="23"/>
      <c r="C13" s="23"/>
      <c r="D13" s="24"/>
      <c r="E13" s="24"/>
      <c r="F13" s="24"/>
      <c r="G13" s="23"/>
      <c r="H13" s="23"/>
      <c r="I13" s="24"/>
    </row>
    <row r="14" ht="27.75" customHeight="1">
      <c r="A14" s="38" t="s">
        <v>82</v>
      </c>
      <c r="B14" s="21"/>
      <c r="C14" s="21"/>
      <c r="D14" s="22"/>
      <c r="E14" s="22"/>
      <c r="F14" s="22"/>
      <c r="G14" s="21"/>
      <c r="H14" s="21"/>
      <c r="I14" s="22"/>
    </row>
    <row r="15" ht="27.75" customHeight="1">
      <c r="A15" s="38" t="s">
        <v>83</v>
      </c>
      <c r="B15" s="23"/>
      <c r="C15" s="23"/>
      <c r="D15" s="24"/>
      <c r="E15" s="24"/>
      <c r="F15" s="24"/>
      <c r="G15" s="23"/>
      <c r="H15" s="23"/>
      <c r="I15" s="24"/>
    </row>
    <row r="16" ht="27.75" customHeight="1">
      <c r="A16" s="38" t="s">
        <v>84</v>
      </c>
      <c r="B16" s="21"/>
      <c r="C16" s="21"/>
      <c r="D16" s="22"/>
      <c r="E16" s="22"/>
      <c r="F16" s="22"/>
      <c r="G16" s="21"/>
      <c r="H16" s="21"/>
      <c r="I16" s="22"/>
    </row>
    <row r="17" ht="27.75" customHeight="1">
      <c r="A17" s="38" t="s">
        <v>85</v>
      </c>
      <c r="B17" s="23"/>
      <c r="C17" s="23"/>
      <c r="D17" s="24"/>
      <c r="E17" s="24"/>
      <c r="F17" s="24"/>
      <c r="G17" s="23"/>
      <c r="H17" s="23"/>
      <c r="I17" s="24"/>
    </row>
    <row r="18" ht="19.5" customHeight="1">
      <c r="A18" s="39" t="s">
        <v>86</v>
      </c>
      <c r="B18" s="26"/>
      <c r="C18" s="26"/>
      <c r="D18" s="27"/>
      <c r="E18" s="40">
        <f>COUNTA(A5:A17)</f>
        <v>13</v>
      </c>
      <c r="F18" s="41"/>
      <c r="G18" s="41"/>
      <c r="H18" s="41"/>
      <c r="I18" s="41"/>
    </row>
    <row r="20" ht="18.0" customHeight="1">
      <c r="A20" s="30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18:D18"/>
    <mergeCell ref="A20:I20"/>
  </mergeCells>
  <dataValidations>
    <dataValidation type="list" allowBlank="1" sqref="E5:E17">
      <formula1>"Alta,Média,Baixa"</formula1>
    </dataValidation>
    <dataValidation type="list" allowBlank="1" sqref="F5:F17">
      <formula1>"Pendente,Em curso,Concluído,Cancelado"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5" width="18.0"/>
    <col customWidth="1" min="6" max="26" width="8.71"/>
  </cols>
  <sheetData>
    <row r="1" ht="30.0" customHeight="1">
      <c r="A1" s="42" t="s">
        <v>87</v>
      </c>
      <c r="B1" s="2"/>
      <c r="C1" s="2"/>
      <c r="D1" s="2"/>
      <c r="E1" s="3"/>
    </row>
    <row r="2" ht="18.0" customHeight="1">
      <c r="A2" s="43" t="s">
        <v>88</v>
      </c>
      <c r="B2" s="2"/>
      <c r="C2" s="2"/>
      <c r="D2" s="2"/>
      <c r="E2" s="3"/>
    </row>
    <row r="3" ht="9.75" customHeight="1"/>
    <row r="4" ht="19.5" customHeight="1">
      <c r="A4" s="5" t="s">
        <v>89</v>
      </c>
      <c r="B4" s="5" t="s">
        <v>90</v>
      </c>
      <c r="C4" s="5" t="s">
        <v>91</v>
      </c>
      <c r="D4" s="5" t="s">
        <v>92</v>
      </c>
      <c r="E4" s="5"/>
    </row>
    <row r="5" ht="21.75" customHeight="1">
      <c r="A5" s="44" t="s">
        <v>93</v>
      </c>
      <c r="B5" s="45">
        <f>'Req. Funcionais (RF)'!E20</f>
        <v>15</v>
      </c>
      <c r="C5" s="46" t="str">
        <f>'Req. Não Funcionais (RNF)'!E15</f>
        <v/>
      </c>
      <c r="D5" s="45">
        <f t="shared" ref="D5:D11" si="1">B5+C5</f>
        <v>15</v>
      </c>
      <c r="E5" s="47"/>
    </row>
    <row r="6" ht="21.75" customHeight="1">
      <c r="A6" s="48" t="s">
        <v>94</v>
      </c>
      <c r="B6" s="49">
        <f>COUNTIF('Req. Funcionais (RF)'!E5:E19,"Alta")</f>
        <v>5</v>
      </c>
      <c r="C6" s="50">
        <f>COUNTIF('Req. Não Funcionais (RNF)'!E5:E14,"Alta")</f>
        <v>3</v>
      </c>
      <c r="D6" s="51">
        <f t="shared" si="1"/>
        <v>8</v>
      </c>
      <c r="E6" s="47"/>
    </row>
    <row r="7" ht="21.75" customHeight="1">
      <c r="A7" s="48" t="s">
        <v>95</v>
      </c>
      <c r="B7" s="49">
        <f>COUNTIF('Req. Funcionais (RF)'!E5:E19,"Média")</f>
        <v>0</v>
      </c>
      <c r="C7" s="50">
        <f>COUNTIF('Req. Não Funcionais (RNF)'!E5:E14,"Média")</f>
        <v>1</v>
      </c>
      <c r="D7" s="51">
        <f t="shared" si="1"/>
        <v>1</v>
      </c>
      <c r="E7" s="47"/>
    </row>
    <row r="8" ht="21.75" customHeight="1">
      <c r="A8" s="48" t="s">
        <v>96</v>
      </c>
      <c r="B8" s="49">
        <f>COUNTIF('Req. Funcionais (RF)'!E5:E19,"Baixa")</f>
        <v>0</v>
      </c>
      <c r="C8" s="50">
        <f>COUNTIF('Req. Não Funcionais (RNF)'!E5:E14,"Baixa")</f>
        <v>0</v>
      </c>
      <c r="D8" s="51">
        <f t="shared" si="1"/>
        <v>0</v>
      </c>
      <c r="E8" s="47"/>
    </row>
    <row r="9" ht="21.75" customHeight="1">
      <c r="A9" s="48" t="s">
        <v>97</v>
      </c>
      <c r="B9" s="49">
        <f>COUNTIF('Req. Funcionais (RF)'!F5:F19,"Concluído")</f>
        <v>0</v>
      </c>
      <c r="C9" s="50">
        <f>COUNTIF('Req. Não Funcionais (RNF)'!F5:F14,"Concluído")</f>
        <v>0</v>
      </c>
      <c r="D9" s="51">
        <f t="shared" si="1"/>
        <v>0</v>
      </c>
      <c r="E9" s="47"/>
    </row>
    <row r="10" ht="21.75" customHeight="1">
      <c r="A10" s="48" t="s">
        <v>98</v>
      </c>
      <c r="B10" s="49">
        <f>COUNTIF('Req. Funcionais (RF)'!F5:F19,"Pendente")</f>
        <v>5</v>
      </c>
      <c r="C10" s="50">
        <f>COUNTIF('Req. Não Funcionais (RNF)'!F5:F14,"Pendente")</f>
        <v>4</v>
      </c>
      <c r="D10" s="51">
        <f t="shared" si="1"/>
        <v>9</v>
      </c>
      <c r="E10" s="47"/>
    </row>
    <row r="11" ht="21.75" customHeight="1">
      <c r="A11" s="48" t="s">
        <v>99</v>
      </c>
      <c r="B11" s="49">
        <f>COUNTIF('Req. Funcionais (RF)'!F5:F19,"Em curso")</f>
        <v>0</v>
      </c>
      <c r="C11" s="50">
        <f>COUNTIF('Req. Não Funcionais (RNF)'!F5:F14,"Em curso")</f>
        <v>0</v>
      </c>
      <c r="D11" s="51">
        <f t="shared" si="1"/>
        <v>0</v>
      </c>
      <c r="E11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2026-06-01T18:35:13Z</dcterms:created>
  <dc:creator>Carlos Barata</dc:creator>
</cp:coreProperties>
</file>